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" sheetId="1" state="visible" r:id="rId3"/>
    <sheet name="KP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<sst xmlns="http://schemas.openxmlformats.org/spreadsheetml/2006/main" count="121" uniqueCount="74">
  <si>
    <t xml:space="preserve">CALCUL DU ROI — 3 SCÉNARIOS (12 MOIS)</t>
  </si>
  <si>
    <t xml:space="preserve">HYPOTHÈSES</t>
  </si>
  <si>
    <t xml:space="preserve">Paramètre</t>
  </si>
  <si>
    <t xml:space="preserve">Central</t>
  </si>
  <si>
    <t xml:space="preserve">Pessimiste (-30%)</t>
  </si>
  <si>
    <t xml:space="preserve">Optimiste (+30%)</t>
  </si>
  <si>
    <t xml:space="preserve">Plafond d'utilisateurs actifs (asymptote, mois 12)</t>
  </si>
  <si>
    <t xml:space="preserve">Taux d'adoption (conversion abonnement payant)</t>
  </si>
  <si>
    <t xml:space="preserve">Prix abonnement mensuel (€)</t>
  </si>
  <si>
    <t xml:space="preserve">Scans/mois par utilisateur (hypothèse NutriScope — inchangée)</t>
  </si>
  <si>
    <t xml:space="preserve">Coût temps/homme (3 dév. x 256h x 1,3 majoration, arrondi à 1000h x 50€/h) — fixe sur les 3 scénarios</t>
  </si>
  <si>
    <t xml:space="preserve">Note : le coût d'hébergement n'est pas pris en compte. Les autres coûts récurrents (marketing, commissions stores, maintenance) sont volontairement exclus à ce stade.</t>
  </si>
  <si>
    <t xml:space="preserve">PROJECTION MENSUELLE — SCÉNARIO CENTRAL</t>
  </si>
  <si>
    <t xml:space="preserve">Mois</t>
  </si>
  <si>
    <t xml:space="preserve">N°</t>
  </si>
  <si>
    <t xml:space="preserve">Utilisateurs actifs</t>
  </si>
  <si>
    <t xml:space="preserve">Volume assistant (75%)</t>
  </si>
  <si>
    <t xml:space="preserve">Tokens LLM/mois</t>
  </si>
  <si>
    <t xml:space="preserve">Coût entrée ($)</t>
  </si>
  <si>
    <t xml:space="preserve">Coût sortie ($)</t>
  </si>
  <si>
    <t xml:space="preserve">Revenu (€)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</si>
  <si>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</si>
  <si>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</si>
  <si>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</si>
  <si>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</si>
  <si>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</si>
  <si>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</si>
  <si>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</si>
  <si>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</si>
  <si>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</si>
  <si>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</si>
  <si>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</si>
  <si>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</si>
  <si>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 12 mois</t>
  </si>
  <si>
    <t xml:space="preserve">Coût LLM total (entrée + sortie)</t>
  </si>
  <si>
    <t xml:space="preserve">PROJECTION MENSUELLE — SCÉNARIO PESSIMISTE (-30%)</t>
  </si>
  <si>
    <t xml:space="preserve">PROJECTION MENSUELLE — SCÉNARIO OPTIMISTE (+30%)</t>
  </si>
  <si>
    <t xml:space="preserve">SYNTHÈSE ROI — 12 MOIS (3 SCÉNARIOS)</t>
  </si>
  <si>
    <t xml:space="preserve">Scénario</t>
  </si>
  <si>
    <t xml:space="preserve">Revenu total (€)</t>
  </si>
  <si>
    <t xml:space="preserve">Coût temps/homme (€)</t>
  </si>
  <si>
    <t xml:space="preserve">Coût LLM (€)</t>
  </si>
  <si>
    <t xml:space="preserve">Coût total (€)</t>
  </si>
  <si>
    <t xml:space="preserve">Bénéfice net (€)</t>
  </si>
  <si>
    <t xml:space="preserve">ROI (%)</t>
  </si>
  <si>
    <t xml:space="preserve">KPI d’adoption</t>
  </si>
  <si>
    <t xml:space="preserve">KPI</t>
  </si>
  <si>
    <t xml:space="preserve">Définition exacte</t>
  </si>
  <si>
    <t xml:space="preserve">Seuil d’alerte</t>
  </si>
  <si>
    <t xml:space="preserve">Plan de relance</t>
  </si>
  <si>
    <t xml:space="preserve">Utilisateurs Actifs Mensuels   </t>
  </si>
  <si>
    <t xml:space="preserve">Nombre d'utilisateurs uniques 
Ayant réalisé au moins une action 
significative (scan, recherche,
 consultation de fiche produit)
 Sur les 30 derniers jours glissants</t>
  </si>
  <si>
    <t xml:space="preserve">Baisse de plus de 10 % en
Glissement mensuel sur 2
 Mois consécutifs </t>
  </si>
  <si>
    <t xml:space="preserve">Analyser la cohorte perdue
 (nouveaux vs anciens utilisateurs),
 relancer par notification push
 Segmentée + email 
"vos derniers produits
 Scannés" à J+14 d'inactivité   </t>
  </si>
  <si>
    <t xml:space="preserve">Volume de scans </t>
  </si>
  <si>
    <t xml:space="preserve">Nombre total de scans de
 codes-barres effectués
 (réussis ou non) sur la période,
 Tous utilisateurs confondus   </t>
  </si>
  <si>
    <t xml:space="preserve">Moins de 3 scans/utilisateur
 actif/semaine en moyenne   </t>
  </si>
  <si>
    <t xml:space="preserve">Auditer le taux de scan réussi 
(KPI existant) pour écarter un
 problème technique, puis
 pousser une notification 
contextuelle géolocalisée 
type "vous êtes en magasin ?"
 Si opt-in localisation activé   </t>
  </si>
  <si>
    <t xml:space="preserve">Acquisition mensuelle   </t>
  </si>
  <si>
    <t xml:space="preserve">Nombre de nouveaux comptes
 créés et activés 
(première action complétée,
 Pas juste inscription) sur le mois   </t>
  </si>
  <si>
    <t xml:space="preserve">Moins de 500 nouveaux
 utilisateurs activés/mois
 (à ajuster selon objectif)   </t>
  </si>
  <si>
    <t xml:space="preserve">Revoir les canaux d'acquisition
 sous-performants (comparer 
coût par canal), renforcer le 
message central sur 
les canaux les plus
 Convertisseurs identifiés </t>
  </si>
  <si>
    <t xml:space="preserve">% d'utilisation de l'assistant   </t>
  </si>
  <si>
    <t xml:space="preserve">Utilisateurs ayant sollicité
 au moins une suggestion
 De substitution / 30j)   </t>
  </si>
  <si>
    <t xml:space="preserve">Moins de 20 % des utilisateurs
 actifs ont utilisé l'assistant
 Sur le mois   </t>
  </si>
  <si>
    <t xml:space="preserve">Revoir la visibilité de l'entrée
 point (Appel a action plus
 visible sur la fiche produit),
 ajouter un onboarding contextuel
 Au 2e scan invitant à tester l'assistant </t>
  </si>
  <si>
    <t xml:space="preserve">Taux de substitution acceptée   </t>
  </si>
  <si>
    <t xml:space="preserve">Substitutions cliquées, ajoutées
 en favori ou recherchées ensuite
 / Substitutions proposées par
 L'assistant  </t>
  </si>
  <si>
    <t xml:space="preserve">Moins de 15 % de taux d'acceptation   </t>
  </si>
  <si>
    <t xml:space="preserve">Analyser un échantillon de suggestions
 rejetées avec l'équipe data/IA pour
 identifier un biais de pertinence
 (prix, goût, disponibilité), ajuster
 Les critères de scoring   </t>
  </si>
  <si>
    <t xml:space="preserve">% de passage au Premium  </t>
  </si>
  <si>
    <t xml:space="preserve">Utilisateurs ayant souscrit 
À l'offre premium   </t>
  </si>
  <si>
    <t xml:space="preserve">Moins de 2 % de conversion sur un mois   </t>
  </si>
  <si>
    <t xml:space="preserve">Tester une offre d'essai gratuit
 limité dans le temps, ou déclencher
 une proposition premium contextuelle
 au moment où l'utilisateur atteint
 une limite du plan gratuit
 (ex : nombre de substitutions/mois)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</si>
</sst>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0&quot; €&quot;"/>
    <numFmt numFmtId="168" formatCode="0"/>
    <numFmt numFmtId="169" formatCode="#,##0.0000&quot; $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.23"/>
    <col collapsed="false" customWidth="true" hidden="false" outlineLevel="0" max="2" min="2" style="1" width="29.49"/>
    <col collapsed="false" customWidth="true" hidden="false" outlineLevel="0" max="3" min="3" style="1" width="27.68"/>
    <col collapsed="false" customWidth="true" hidden="false" outlineLevel="0" max="4" min="4" style="1" width="31.86"/>
    <col collapsed="false" customWidth="true" hidden="false" outlineLevel="0" max="5" min="5" style="1" width="24.06"/>
    <col collapsed="false" customWidth="true" hidden="false" outlineLevel="0" max="8" min="6" style="1" width="16"/>
    <col collapsed="false" customWidth="false" hidden="false" outlineLevel="0" max="16384" min="9" style="2" width="8.68"/>
  </cols>
  <sheetData>
    <row r="1" s="2" customFormat="true" ht="15" hidden="false" customHeight="false" outlineLevel="0" collapsed="false">
      <c r="F1" s="0"/>
      <c r="G1" s="0"/>
      <c r="H1" s="0"/>
    </row>
    <row r="2" customFormat="false" ht="17.35" hidden="false" customHeight="false" outlineLevel="0" collapsed="false">
      <c r="A2" s="3" t="s">
        <v>0</v>
      </c>
      <c r="F2" s="0"/>
      <c r="G2" s="0"/>
      <c r="H2" s="0"/>
    </row>
    <row r="3" customFormat="false" ht="15" hidden="false" customHeight="false" outlineLevel="0" collapsed="false">
      <c r="F3" s="2"/>
      <c r="G3" s="2"/>
      <c r="H3" s="2"/>
    </row>
    <row r="4" customFormat="false" ht="76.1" hidden="false" customHeight="true" outlineLevel="0" collapsed="false">
      <c r="A4" s="4" t="s">
        <v>1</v>
      </c>
      <c r="F4" s="2"/>
      <c r="G4" s="2"/>
      <c r="H4" s="2"/>
    </row>
    <row r="5" customFormat="false" ht="82.05" hidden="false" customHeight="true" outlineLevel="0" collapsed="false">
      <c r="F5" s="2"/>
      <c r="G5" s="2"/>
      <c r="H5" s="2"/>
    </row>
    <row r="6" s="2" customFormat="true" ht="15" hidden="false" customHeight="fals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1"/>
    </row>
    <row r="7" s="2" customFormat="true" ht="15" hidden="false" customHeight="false" outlineLevel="0" collapsed="false">
      <c r="A7" s="7" t="s">
        <v>6</v>
      </c>
      <c r="B7" s="8" t="n">
        <v>30000</v>
      </c>
      <c r="C7" s="9" t="n">
        <f aca="false">B7*0.7</f>
        <v>21000</v>
      </c>
      <c r="D7" s="9" t="n">
        <f aca="false">B7*1.3</f>
        <v>39000</v>
      </c>
      <c r="E7" s="1"/>
    </row>
    <row r="8" s="2" customFormat="true" ht="15" hidden="false" customHeight="false" outlineLevel="0" collapsed="false">
      <c r="A8" s="7" t="s">
        <v>7</v>
      </c>
      <c r="B8" s="10" t="n">
        <v>0.05</v>
      </c>
      <c r="C8" s="11" t="n">
        <f aca="false">B8*0.7</f>
        <v>0.035</v>
      </c>
      <c r="D8" s="11" t="n">
        <f aca="false">B8*1.3</f>
        <v>0.065</v>
      </c>
      <c r="E8" s="1"/>
    </row>
    <row r="9" s="2" customFormat="true" ht="15" hidden="false" customHeight="false" outlineLevel="0" collapsed="false">
      <c r="A9" s="7" t="s">
        <v>8</v>
      </c>
      <c r="B9" s="12" t="n">
        <v>5</v>
      </c>
      <c r="C9" s="13" t="n">
        <f aca="false">B9</f>
        <v>5</v>
      </c>
      <c r="D9" s="13" t="n">
        <f aca="false">B9</f>
        <v>5</v>
      </c>
      <c r="E9" s="1"/>
    </row>
    <row r="10" s="2" customFormat="true" ht="15" hidden="false" customHeight="false" outlineLevel="0" collapsed="false">
      <c r="A10" s="7" t="s">
        <v>9</v>
      </c>
      <c r="B10" s="14" t="n">
        <v>3</v>
      </c>
      <c r="C10" s="15" t="n">
        <f aca="false">B10</f>
        <v>3</v>
      </c>
      <c r="D10" s="15" t="n">
        <f aca="false">B10</f>
        <v>3</v>
      </c>
      <c r="E10" s="1"/>
    </row>
    <row r="11" customFormat="false" ht="15" hidden="false" customHeight="false" outlineLevel="0" collapsed="false">
      <c r="A11" s="16" t="s">
        <v>10</v>
      </c>
      <c r="B11" s="17" t="n">
        <f aca="false">1000*50</f>
        <v>50000</v>
      </c>
      <c r="F11" s="2"/>
      <c r="G11" s="2"/>
      <c r="H11" s="2"/>
    </row>
    <row r="12" customFormat="false" ht="15" hidden="false" customHeight="false" outlineLevel="0" collapsed="false">
      <c r="A12" s="18" t="s">
        <v>11</v>
      </c>
      <c r="F12" s="2"/>
      <c r="G12" s="2"/>
      <c r="H12" s="2"/>
    </row>
    <row r="13" customFormat="false" ht="15" hidden="false" customHeight="false" outlineLevel="0" collapsed="false">
      <c r="F13" s="2"/>
      <c r="G13" s="2"/>
      <c r="H13" s="2"/>
    </row>
    <row r="14" customFormat="false" ht="15" hidden="false" customHeight="false" outlineLevel="0" collapsed="false">
      <c r="A14" s="4" t="s">
        <v>12</v>
      </c>
    </row>
    <row r="16" customFormat="false" ht="15" hidden="false" customHeight="false" outlineLevel="0" collapsed="false">
      <c r="A16" s="6" t="s">
        <v>13</v>
      </c>
      <c r="B16" s="6" t="s">
        <v>14</v>
      </c>
      <c r="C16" s="6" t="s">
        <v>15</v>
      </c>
      <c r="D16" s="6" t="s">
        <v>16</v>
      </c>
      <c r="E16" s="6" t="s">
        <v>17</v>
      </c>
      <c r="F16" s="6" t="s">
        <v>18</v>
      </c>
      <c r="G16" s="6" t="s">
        <v>19</v>
      </c>
      <c r="H16" s="6" t="s">
        <v>20</v>
      </c>
    </row>
    <row r="17" customFormat="false" ht="15" hidden="false" customHeight="false" outlineLevel="0" collapsed="false">
      <c r="A17" s="7" t="s">
        <v>21</v>
      </c>
      <c r="B17" s="15" t="n">
        <v>1</v>
      </c>
      <c r="C17" s="9" t="n">
        <f aca="false">$B$7/(1+EXP(-0.6*(B17-7)))</f>
        <v>797.909807305976</v>
      </c>
      <c r="D17" s="9" t="n">
        <f aca="false">C17*0.75</f>
        <v>598.432355479482</v>
      </c>
      <c r="E17" s="9" t="n">
        <f aca="false">D17*4000</f>
        <v>2393729.42191793</v>
      </c>
      <c r="F17" s="19" t="n">
        <f aca="false">((E17/2)/1000000)*0.2</f>
        <v>0.239372942191793</v>
      </c>
      <c r="G17" s="19" t="n">
        <f aca="false">((E17/2)/1000000)*1.1</f>
        <v>1.31655118205486</v>
      </c>
      <c r="H17" s="13" t="n">
        <f aca="false">(C17*$B$8)*$B$9</f>
        <v>199.477451826494</v>
      </c>
    </row>
    <row r="18" customFormat="false" ht="15" hidden="false" customHeight="false" outlineLevel="0" collapsed="false">
      <c r="A18" s="7" t="s">
        <v>22</v>
      </c>
      <c r="B18" s="15" t="n">
        <v>2</v>
      </c>
      <c r="C18" s="9" t="n">
        <f aca="false">$B$7/(1+EXP(-0.6*(B18-7)))</f>
        <v>1422.776195327</v>
      </c>
      <c r="D18" s="9" t="n">
        <f aca="false">C18*0.75</f>
        <v>1067.08214649525</v>
      </c>
      <c r="E18" s="9" t="n">
        <f aca="false">D18*4000</f>
        <v>4268328.58598101</v>
      </c>
      <c r="F18" s="19" t="n">
        <f aca="false">((E18/2)/1000000)*0.2</f>
        <v>0.426832858598101</v>
      </c>
      <c r="G18" s="19" t="n">
        <f aca="false">((E18/2)/1000000)*1.1</f>
        <v>2.34758072228956</v>
      </c>
      <c r="H18" s="13" t="n">
        <f aca="false">(C18*$B$8)*$B$9</f>
        <v>355.694048831751</v>
      </c>
    </row>
    <row r="19" customFormat="false" ht="15" hidden="false" customHeight="false" outlineLevel="0" collapsed="false">
      <c r="A19" s="7" t="s">
        <v>23</v>
      </c>
      <c r="B19" s="15" t="n">
        <v>3</v>
      </c>
      <c r="C19" s="9" t="n">
        <f aca="false">$B$7/(1+EXP(-0.6*(B19-7)))</f>
        <v>2495.18089481767</v>
      </c>
      <c r="D19" s="9" t="n">
        <f aca="false">C19*0.75</f>
        <v>1871.38567111325</v>
      </c>
      <c r="E19" s="9" t="n">
        <f aca="false">D19*4000</f>
        <v>7485542.68445301</v>
      </c>
      <c r="F19" s="19" t="n">
        <f aca="false">((E19/2)/1000000)*0.2</f>
        <v>0.748554268445302</v>
      </c>
      <c r="G19" s="19" t="n">
        <f aca="false">((E19/2)/1000000)*1.1</f>
        <v>4.11704847644916</v>
      </c>
      <c r="H19" s="13" t="n">
        <f aca="false">(C19*$B$8)*$B$9</f>
        <v>623.795223704418</v>
      </c>
    </row>
    <row r="20" customFormat="false" ht="15" hidden="false" customHeight="false" outlineLevel="0" collapsed="false">
      <c r="A20" s="7" t="s">
        <v>24</v>
      </c>
      <c r="B20" s="15" t="n">
        <v>4</v>
      </c>
      <c r="C20" s="9" t="n">
        <f aca="false">$B$7/(1+EXP(-0.6*(B20-7)))</f>
        <v>4255.53194701463</v>
      </c>
      <c r="D20" s="9" t="n">
        <f aca="false">C20*0.75</f>
        <v>3191.64896026098</v>
      </c>
      <c r="E20" s="9" t="n">
        <f aca="false">D20*4000</f>
        <v>12766595.8410439</v>
      </c>
      <c r="F20" s="19" t="n">
        <f aca="false">((E20/2)/1000000)*0.2</f>
        <v>1.27665958410439</v>
      </c>
      <c r="G20" s="19" t="n">
        <f aca="false">((E20/2)/1000000)*1.1</f>
        <v>7.02162771257415</v>
      </c>
      <c r="H20" s="13" t="n">
        <f aca="false">(C20*$B$8)*$B$9</f>
        <v>1063.88298675366</v>
      </c>
    </row>
    <row r="21" customFormat="false" ht="15" hidden="false" customHeight="false" outlineLevel="0" collapsed="false">
      <c r="A21" s="7" t="s">
        <v>25</v>
      </c>
      <c r="B21" s="15" t="n">
        <v>5</v>
      </c>
      <c r="C21" s="9" t="n">
        <f aca="false">$B$7/(1+EXP(-0.6*(B21-7)))</f>
        <v>6944.25649502947</v>
      </c>
      <c r="D21" s="9" t="n">
        <f aca="false">C21*0.75</f>
        <v>5208.1923712721</v>
      </c>
      <c r="E21" s="9" t="n">
        <f aca="false">D21*4000</f>
        <v>20832769.4850884</v>
      </c>
      <c r="F21" s="19" t="n">
        <f aca="false">((E21/2)/1000000)*0.2</f>
        <v>2.08327694850884</v>
      </c>
      <c r="G21" s="19" t="n">
        <f aca="false">((E21/2)/1000000)*1.1</f>
        <v>11.4580232167986</v>
      </c>
      <c r="H21" s="13" t="n">
        <f aca="false">(C21*$B$8)*$B$9</f>
        <v>1736.06412375737</v>
      </c>
    </row>
    <row r="22" customFormat="false" ht="15" hidden="false" customHeight="false" outlineLevel="0" collapsed="false">
      <c r="A22" s="7" t="s">
        <v>26</v>
      </c>
      <c r="B22" s="15" t="n">
        <v>6</v>
      </c>
      <c r="C22" s="9" t="n">
        <f aca="false">$B$7/(1+EXP(-0.6*(B22-7)))</f>
        <v>10630.3108132261</v>
      </c>
      <c r="D22" s="9" t="n">
        <f aca="false">C22*0.75</f>
        <v>7972.7331099196</v>
      </c>
      <c r="E22" s="9" t="n">
        <f aca="false">D22*4000</f>
        <v>31890932.4396784</v>
      </c>
      <c r="F22" s="19" t="n">
        <f aca="false">((E22/2)/1000000)*0.2</f>
        <v>3.18909324396784</v>
      </c>
      <c r="G22" s="19" t="n">
        <f aca="false">((E22/2)/1000000)*1.1</f>
        <v>17.5400128418231</v>
      </c>
      <c r="H22" s="13" t="n">
        <f aca="false">(C22*$B$8)*$B$9</f>
        <v>2657.57770330653</v>
      </c>
    </row>
    <row r="23" customFormat="false" ht="15" hidden="false" customHeight="false" outlineLevel="0" collapsed="false">
      <c r="A23" s="7" t="s">
        <v>27</v>
      </c>
      <c r="B23" s="15" t="n">
        <v>7</v>
      </c>
      <c r="C23" s="9" t="n">
        <f aca="false">$B$7/(1+EXP(-0.6*(B23-7)))</f>
        <v>15000</v>
      </c>
      <c r="D23" s="9" t="n">
        <f aca="false">C23*0.75</f>
        <v>11250</v>
      </c>
      <c r="E23" s="9" t="n">
        <f aca="false">D23*4000</f>
        <v>45000000</v>
      </c>
      <c r="F23" s="19" t="n">
        <f aca="false">((E23/2)/1000000)*0.2</f>
        <v>4.5</v>
      </c>
      <c r="G23" s="19" t="n">
        <f aca="false">((E23/2)/1000000)*1.1</f>
        <v>24.75</v>
      </c>
      <c r="H23" s="13" t="n">
        <f aca="false">(C23*$B$8)*$B$9</f>
        <v>3750</v>
      </c>
    </row>
    <row r="24" customFormat="false" ht="15" hidden="false" customHeight="false" outlineLevel="0" collapsed="false">
      <c r="A24" s="7" t="s">
        <v>28</v>
      </c>
      <c r="B24" s="15" t="n">
        <v>8</v>
      </c>
      <c r="C24" s="9" t="n">
        <f aca="false">$B$7/(1+EXP(-0.6*(B24-7)))</f>
        <v>19369.6891867739</v>
      </c>
      <c r="D24" s="9" t="n">
        <f aca="false">C24*0.75</f>
        <v>14527.2668900804</v>
      </c>
      <c r="E24" s="9" t="n">
        <f aca="false">D24*4000</f>
        <v>58109067.5603216</v>
      </c>
      <c r="F24" s="19" t="n">
        <f aca="false">((E24/2)/1000000)*0.2</f>
        <v>5.81090675603216</v>
      </c>
      <c r="G24" s="19" t="n">
        <f aca="false">((E24/2)/1000000)*1.1</f>
        <v>31.9599871581769</v>
      </c>
      <c r="H24" s="13" t="n">
        <f aca="false">(C24*$B$8)*$B$9</f>
        <v>4842.42229669347</v>
      </c>
    </row>
    <row r="25" customFormat="false" ht="15" hidden="false" customHeight="false" outlineLevel="0" collapsed="false">
      <c r="A25" s="7" t="s">
        <v>29</v>
      </c>
      <c r="B25" s="15" t="n">
        <v>9</v>
      </c>
      <c r="C25" s="9" t="n">
        <f aca="false">$B$7/(1+EXP(-0.6*(B25-7)))</f>
        <v>23055.7435049705</v>
      </c>
      <c r="D25" s="9" t="n">
        <f aca="false">C25*0.75</f>
        <v>17291.8076287279</v>
      </c>
      <c r="E25" s="9" t="n">
        <f aca="false">D25*4000</f>
        <v>69167230.5149116</v>
      </c>
      <c r="F25" s="19" t="n">
        <f aca="false">((E25/2)/1000000)*0.2</f>
        <v>6.91672305149116</v>
      </c>
      <c r="G25" s="19" t="n">
        <f aca="false">((E25/2)/1000000)*1.1</f>
        <v>38.0419767832014</v>
      </c>
      <c r="H25" s="13" t="n">
        <f aca="false">(C25*$B$8)*$B$9</f>
        <v>5763.93587624263</v>
      </c>
    </row>
    <row r="26" customFormat="false" ht="15" hidden="false" customHeight="false" outlineLevel="0" collapsed="false">
      <c r="A26" s="7" t="s">
        <v>30</v>
      </c>
      <c r="B26" s="15" t="n">
        <v>10</v>
      </c>
      <c r="C26" s="9" t="n">
        <f aca="false">$B$7/(1+EXP(-0.6*(B26-7)))</f>
        <v>25744.4680529854</v>
      </c>
      <c r="D26" s="9" t="n">
        <f aca="false">C26*0.75</f>
        <v>19308.351039739</v>
      </c>
      <c r="E26" s="9" t="n">
        <f aca="false">D26*4000</f>
        <v>77233404.1589561</v>
      </c>
      <c r="F26" s="19" t="n">
        <f aca="false">((E26/2)/1000000)*0.2</f>
        <v>7.72334041589561</v>
      </c>
      <c r="G26" s="19" t="n">
        <f aca="false">((E26/2)/1000000)*1.1</f>
        <v>42.4783722874259</v>
      </c>
      <c r="H26" s="13" t="n">
        <f aca="false">(C26*$B$8)*$B$9</f>
        <v>6436.11701324634</v>
      </c>
    </row>
    <row r="27" customFormat="false" ht="15" hidden="false" customHeight="false" outlineLevel="0" collapsed="false">
      <c r="A27" s="7" t="s">
        <v>31</v>
      </c>
      <c r="B27" s="15" t="n">
        <v>11</v>
      </c>
      <c r="C27" s="9" t="n">
        <f aca="false">$B$7/(1+EXP(-0.6*(B27-7)))</f>
        <v>27504.8191051823</v>
      </c>
      <c r="D27" s="9" t="n">
        <f aca="false">C27*0.75</f>
        <v>20628.6143288867</v>
      </c>
      <c r="E27" s="9" t="n">
        <f aca="false">D27*4000</f>
        <v>82514457.315547</v>
      </c>
      <c r="F27" s="19" t="n">
        <f aca="false">((E27/2)/1000000)*0.2</f>
        <v>8.2514457315547</v>
      </c>
      <c r="G27" s="19" t="n">
        <f aca="false">((E27/2)/1000000)*1.1</f>
        <v>45.3829515235509</v>
      </c>
      <c r="H27" s="13" t="n">
        <f aca="false">(C27*$B$8)*$B$9</f>
        <v>6876.20477629558</v>
      </c>
    </row>
    <row r="28" customFormat="false" ht="15" hidden="false" customHeight="false" outlineLevel="0" collapsed="false">
      <c r="A28" s="7" t="s">
        <v>32</v>
      </c>
      <c r="B28" s="15" t="n">
        <v>12</v>
      </c>
      <c r="C28" s="9" t="n">
        <f aca="false">$B$7</f>
        <v>30000</v>
      </c>
      <c r="D28" s="9" t="n">
        <f aca="false">C28*0.75</f>
        <v>22500</v>
      </c>
      <c r="E28" s="9" t="n">
        <f aca="false">D28*4000</f>
        <v>90000000</v>
      </c>
      <c r="F28" s="19" t="n">
        <f aca="false">((E28/2)/1000000)*0.2</f>
        <v>9</v>
      </c>
      <c r="G28" s="19" t="n">
        <f aca="false">((E28/2)/1000000)*1.1</f>
        <v>49.5</v>
      </c>
      <c r="H28" s="13" t="n">
        <f aca="false">(C28*$B$8)*$B$9</f>
        <v>7500</v>
      </c>
    </row>
    <row r="29" customFormat="false" ht="15" hidden="false" customHeight="false" outlineLevel="0" collapsed="false">
      <c r="A29" s="20" t="s">
        <v>33</v>
      </c>
      <c r="D29" s="21" t="n">
        <f aca="false">SUM(D17:D28)</f>
        <v>125415.514501975</v>
      </c>
      <c r="E29" s="21" t="n">
        <f aca="false">SUM(E17:E28)</f>
        <v>501662058.007899</v>
      </c>
      <c r="F29" s="21" t="n">
        <f aca="false">SUM(F17:F28)</f>
        <v>50.1662058007899</v>
      </c>
      <c r="G29" s="21" t="n">
        <f aca="false">SUM(G17:G28)</f>
        <v>275.914131904344</v>
      </c>
      <c r="H29" s="22" t="n">
        <f aca="false">SUM(H17:H28)</f>
        <v>41805.1715006582</v>
      </c>
    </row>
    <row r="30" customFormat="false" ht="15" hidden="false" customHeight="false" outlineLevel="0" collapsed="false">
      <c r="A30" s="23" t="s">
        <v>34</v>
      </c>
      <c r="B30" s="24" t="n">
        <f aca="false">F29+G29</f>
        <v>326.080337705134</v>
      </c>
    </row>
    <row r="33" customFormat="false" ht="15" hidden="false" customHeight="false" outlineLevel="0" collapsed="false">
      <c r="A33" s="4" t="s">
        <v>35</v>
      </c>
    </row>
    <row r="35" customFormat="false" ht="15" hidden="false" customHeight="false" outlineLevel="0" collapsed="false">
      <c r="A35" s="6" t="s">
        <v>13</v>
      </c>
      <c r="B35" s="6" t="s">
        <v>14</v>
      </c>
      <c r="C35" s="6" t="s">
        <v>15</v>
      </c>
      <c r="D35" s="6" t="s">
        <v>16</v>
      </c>
      <c r="E35" s="6" t="s">
        <v>17</v>
      </c>
      <c r="F35" s="6" t="s">
        <v>18</v>
      </c>
      <c r="G35" s="6" t="s">
        <v>19</v>
      </c>
      <c r="H35" s="6" t="s">
        <v>20</v>
      </c>
    </row>
    <row r="36" customFormat="false" ht="15" hidden="false" customHeight="false" outlineLevel="0" collapsed="false">
      <c r="A36" s="7" t="s">
        <v>21</v>
      </c>
      <c r="B36" s="15" t="n">
        <v>1</v>
      </c>
      <c r="C36" s="9" t="n">
        <f aca="false">$C$7/(1+EXP(-0.6*(B36-7)))</f>
        <v>558.536865114183</v>
      </c>
      <c r="D36" s="9" t="n">
        <f aca="false">C36*0.75</f>
        <v>418.902648835637</v>
      </c>
      <c r="E36" s="9" t="n">
        <f aca="false">D36*4000</f>
        <v>1675610.59534255</v>
      </c>
      <c r="F36" s="19" t="n">
        <f aca="false">((E36/2)/1000000)*0.2</f>
        <v>0.167561059534255</v>
      </c>
      <c r="G36" s="19" t="n">
        <f aca="false">((E36/2)/1000000)*1.1</f>
        <v>0.921585827438402</v>
      </c>
      <c r="H36" s="13" t="n">
        <f aca="false">(C36*$C$8)*$C$9</f>
        <v>97.743951394982</v>
      </c>
    </row>
    <row r="37" customFormat="false" ht="15" hidden="false" customHeight="false" outlineLevel="0" collapsed="false">
      <c r="A37" s="7" t="s">
        <v>22</v>
      </c>
      <c r="B37" s="15" t="n">
        <v>2</v>
      </c>
      <c r="C37" s="9" t="n">
        <f aca="false">$C$7/(1+EXP(-0.6*(B37-7)))</f>
        <v>995.943336728902</v>
      </c>
      <c r="D37" s="9" t="n">
        <f aca="false">C37*0.75</f>
        <v>746.957502546677</v>
      </c>
      <c r="E37" s="9" t="n">
        <f aca="false">D37*4000</f>
        <v>2987830.01018671</v>
      </c>
      <c r="F37" s="19" t="n">
        <f aca="false">((E37/2)/1000000)*0.2</f>
        <v>0.298783001018671</v>
      </c>
      <c r="G37" s="19" t="n">
        <f aca="false">((E37/2)/1000000)*1.1</f>
        <v>1.64330650560269</v>
      </c>
      <c r="H37" s="13" t="n">
        <f aca="false">(C37*$C$8)*$C$9</f>
        <v>174.290083927558</v>
      </c>
    </row>
    <row r="38" customFormat="false" ht="15" hidden="false" customHeight="false" outlineLevel="0" collapsed="false">
      <c r="A38" s="7" t="s">
        <v>23</v>
      </c>
      <c r="B38" s="15" t="n">
        <v>3</v>
      </c>
      <c r="C38" s="9" t="n">
        <f aca="false">$C$7/(1+EXP(-0.6*(B38-7)))</f>
        <v>1746.62662637237</v>
      </c>
      <c r="D38" s="9" t="n">
        <f aca="false">C38*0.75</f>
        <v>1309.96996977928</v>
      </c>
      <c r="E38" s="9" t="n">
        <f aca="false">D38*4000</f>
        <v>5239879.87911711</v>
      </c>
      <c r="F38" s="19" t="n">
        <f aca="false">((E38/2)/1000000)*0.2</f>
        <v>0.523987987911711</v>
      </c>
      <c r="G38" s="19" t="n">
        <f aca="false">((E38/2)/1000000)*1.1</f>
        <v>2.88193393351441</v>
      </c>
      <c r="H38" s="13" t="n">
        <f aca="false">(C38*$C$8)*$C$9</f>
        <v>305.659659615165</v>
      </c>
    </row>
    <row r="39" customFormat="false" ht="15" hidden="false" customHeight="false" outlineLevel="0" collapsed="false">
      <c r="A39" s="7" t="s">
        <v>24</v>
      </c>
      <c r="B39" s="15" t="n">
        <v>4</v>
      </c>
      <c r="C39" s="9" t="n">
        <f aca="false">$C$7/(1+EXP(-0.6*(B39-7)))</f>
        <v>2978.87236291024</v>
      </c>
      <c r="D39" s="9" t="n">
        <f aca="false">C39*0.75</f>
        <v>2234.15427218268</v>
      </c>
      <c r="E39" s="9" t="n">
        <f aca="false">D39*4000</f>
        <v>8936617.08873073</v>
      </c>
      <c r="F39" s="19" t="n">
        <f aca="false">((E39/2)/1000000)*0.2</f>
        <v>0.893661708873073</v>
      </c>
      <c r="G39" s="19" t="n">
        <f aca="false">((E39/2)/1000000)*1.1</f>
        <v>4.9151393988019</v>
      </c>
      <c r="H39" s="13" t="n">
        <f aca="false">(C39*$C$8)*$C$9</f>
        <v>521.302663509293</v>
      </c>
    </row>
    <row r="40" customFormat="false" ht="15" hidden="false" customHeight="false" outlineLevel="0" collapsed="false">
      <c r="A40" s="7" t="s">
        <v>25</v>
      </c>
      <c r="B40" s="15" t="n">
        <v>5</v>
      </c>
      <c r="C40" s="9" t="n">
        <f aca="false">$C$7/(1+EXP(-0.6*(B40-7)))</f>
        <v>4860.97954652063</v>
      </c>
      <c r="D40" s="9" t="n">
        <f aca="false">C40*0.75</f>
        <v>3645.73465989047</v>
      </c>
      <c r="E40" s="9" t="n">
        <f aca="false">D40*4000</f>
        <v>14582938.6395619</v>
      </c>
      <c r="F40" s="19" t="n">
        <f aca="false">((E40/2)/1000000)*0.2</f>
        <v>1.45829386395619</v>
      </c>
      <c r="G40" s="19" t="n">
        <f aca="false">((E40/2)/1000000)*1.1</f>
        <v>8.02061625175904</v>
      </c>
      <c r="H40" s="13" t="n">
        <f aca="false">(C40*$C$8)*$C$9</f>
        <v>850.67142064111</v>
      </c>
    </row>
    <row r="41" customFormat="false" ht="15" hidden="false" customHeight="false" outlineLevel="0" collapsed="false">
      <c r="A41" s="7" t="s">
        <v>26</v>
      </c>
      <c r="B41" s="15" t="n">
        <v>6</v>
      </c>
      <c r="C41" s="9" t="n">
        <f aca="false">$C$7/(1+EXP(-0.6*(B41-7)))</f>
        <v>7441.2175692583</v>
      </c>
      <c r="D41" s="9" t="n">
        <f aca="false">C41*0.75</f>
        <v>5580.91317694372</v>
      </c>
      <c r="E41" s="9" t="n">
        <f aca="false">D41*4000</f>
        <v>22323652.7077749</v>
      </c>
      <c r="F41" s="19" t="n">
        <f aca="false">((E41/2)/1000000)*0.2</f>
        <v>2.23236527077749</v>
      </c>
      <c r="G41" s="19" t="n">
        <f aca="false">((E41/2)/1000000)*1.1</f>
        <v>12.2780089892762</v>
      </c>
      <c r="H41" s="13" t="n">
        <f aca="false">(C41*$C$8)*$C$9</f>
        <v>1302.2130746202</v>
      </c>
    </row>
    <row r="42" customFormat="false" ht="15" hidden="false" customHeight="false" outlineLevel="0" collapsed="false">
      <c r="A42" s="7" t="s">
        <v>27</v>
      </c>
      <c r="B42" s="15" t="n">
        <v>7</v>
      </c>
      <c r="C42" s="9" t="n">
        <f aca="false">$C$7/(1+EXP(-0.6*(B42-7)))</f>
        <v>10500</v>
      </c>
      <c r="D42" s="9" t="n">
        <f aca="false">C42*0.75</f>
        <v>7875</v>
      </c>
      <c r="E42" s="9" t="n">
        <f aca="false">D42*4000</f>
        <v>31500000</v>
      </c>
      <c r="F42" s="19" t="n">
        <f aca="false">((E42/2)/1000000)*0.2</f>
        <v>3.15</v>
      </c>
      <c r="G42" s="19" t="n">
        <f aca="false">((E42/2)/1000000)*1.1</f>
        <v>17.325</v>
      </c>
      <c r="H42" s="13" t="n">
        <f aca="false">(C42*$C$8)*$C$9</f>
        <v>1837.5</v>
      </c>
    </row>
    <row r="43" customFormat="false" ht="15" hidden="false" customHeight="false" outlineLevel="0" collapsed="false">
      <c r="A43" s="7" t="s">
        <v>28</v>
      </c>
      <c r="B43" s="15" t="n">
        <v>8</v>
      </c>
      <c r="C43" s="9" t="n">
        <f aca="false">$C$7/(1+EXP(-0.6*(B43-7)))</f>
        <v>13558.7824307417</v>
      </c>
      <c r="D43" s="9" t="n">
        <f aca="false">C43*0.75</f>
        <v>10169.0868230563</v>
      </c>
      <c r="E43" s="9" t="n">
        <f aca="false">D43*4000</f>
        <v>40676347.2922251</v>
      </c>
      <c r="F43" s="19" t="n">
        <f aca="false">((E43/2)/1000000)*0.2</f>
        <v>4.06763472922251</v>
      </c>
      <c r="G43" s="19" t="n">
        <f aca="false">((E43/2)/1000000)*1.1</f>
        <v>22.3719910107238</v>
      </c>
      <c r="H43" s="13" t="n">
        <f aca="false">(C43*$C$8)*$C$9</f>
        <v>2372.7869253798</v>
      </c>
    </row>
    <row r="44" customFormat="false" ht="15" hidden="false" customHeight="false" outlineLevel="0" collapsed="false">
      <c r="A44" s="7" t="s">
        <v>29</v>
      </c>
      <c r="B44" s="15" t="n">
        <v>9</v>
      </c>
      <c r="C44" s="9" t="n">
        <f aca="false">$C$7/(1+EXP(-0.6*(B44-7)))</f>
        <v>16139.0204534794</v>
      </c>
      <c r="D44" s="9" t="n">
        <f aca="false">C44*0.75</f>
        <v>12104.2653401095</v>
      </c>
      <c r="E44" s="9" t="n">
        <f aca="false">D44*4000</f>
        <v>48417061.3604381</v>
      </c>
      <c r="F44" s="19" t="n">
        <f aca="false">((E44/2)/1000000)*0.2</f>
        <v>4.84170613604381</v>
      </c>
      <c r="G44" s="19" t="n">
        <f aca="false">((E44/2)/1000000)*1.1</f>
        <v>26.629383748241</v>
      </c>
      <c r="H44" s="13" t="n">
        <f aca="false">(C44*$C$8)*$C$9</f>
        <v>2824.32857935889</v>
      </c>
    </row>
    <row r="45" customFormat="false" ht="15" hidden="false" customHeight="false" outlineLevel="0" collapsed="false">
      <c r="A45" s="7" t="s">
        <v>30</v>
      </c>
      <c r="B45" s="15" t="n">
        <v>10</v>
      </c>
      <c r="C45" s="9" t="n">
        <f aca="false">$C$7/(1+EXP(-0.6*(B45-7)))</f>
        <v>18021.1276370898</v>
      </c>
      <c r="D45" s="9" t="n">
        <f aca="false">C45*0.75</f>
        <v>13515.8457278173</v>
      </c>
      <c r="E45" s="9" t="n">
        <f aca="false">D45*4000</f>
        <v>54063382.9112693</v>
      </c>
      <c r="F45" s="19" t="n">
        <f aca="false">((E45/2)/1000000)*0.2</f>
        <v>5.40633829112693</v>
      </c>
      <c r="G45" s="19" t="n">
        <f aca="false">((E45/2)/1000000)*1.1</f>
        <v>29.7348606011981</v>
      </c>
      <c r="H45" s="13" t="n">
        <f aca="false">(C45*$C$8)*$C$9</f>
        <v>3153.69733649071</v>
      </c>
    </row>
    <row r="46" customFormat="false" ht="15" hidden="false" customHeight="false" outlineLevel="0" collapsed="false">
      <c r="A46" s="7" t="s">
        <v>31</v>
      </c>
      <c r="B46" s="15" t="n">
        <v>11</v>
      </c>
      <c r="C46" s="9" t="n">
        <f aca="false">$C$7/(1+EXP(-0.6*(B46-7)))</f>
        <v>19253.3733736276</v>
      </c>
      <c r="D46" s="9" t="n">
        <f aca="false">C46*0.75</f>
        <v>14440.0300302207</v>
      </c>
      <c r="E46" s="9" t="n">
        <f aca="false">D46*4000</f>
        <v>57760120.1208829</v>
      </c>
      <c r="F46" s="19" t="n">
        <f aca="false">((E46/2)/1000000)*0.2</f>
        <v>5.77601201208829</v>
      </c>
      <c r="G46" s="19" t="n">
        <f aca="false">((E46/2)/1000000)*1.1</f>
        <v>31.7680660664856</v>
      </c>
      <c r="H46" s="13" t="n">
        <f aca="false">(C46*$C$8)*$C$9</f>
        <v>3369.34034038484</v>
      </c>
    </row>
    <row r="47" customFormat="false" ht="15" hidden="false" customHeight="false" outlineLevel="0" collapsed="false">
      <c r="A47" s="7" t="s">
        <v>32</v>
      </c>
      <c r="B47" s="15" t="n">
        <v>12</v>
      </c>
      <c r="C47" s="9" t="n">
        <f aca="false">$C$7</f>
        <v>21000</v>
      </c>
      <c r="D47" s="9" t="n">
        <f aca="false">C47*0.75</f>
        <v>15750</v>
      </c>
      <c r="E47" s="9" t="n">
        <f aca="false">D47*4000</f>
        <v>63000000</v>
      </c>
      <c r="F47" s="19" t="n">
        <f aca="false">((E47/2)/1000000)*0.2</f>
        <v>6.3</v>
      </c>
      <c r="G47" s="19" t="n">
        <f aca="false">((E47/2)/1000000)*1.1</f>
        <v>34.65</v>
      </c>
      <c r="H47" s="13" t="n">
        <f aca="false">(C47*$C$8)*$C$9</f>
        <v>3675</v>
      </c>
    </row>
    <row r="48" customFormat="false" ht="15" hidden="false" customHeight="false" outlineLevel="0" collapsed="false">
      <c r="A48" s="20" t="s">
        <v>33</v>
      </c>
      <c r="D48" s="21" t="n">
        <f aca="false">SUM(D36:D47)</f>
        <v>87790.8601513823</v>
      </c>
      <c r="E48" s="21" t="n">
        <f aca="false">SUM(E36:E47)</f>
        <v>351163440.605529</v>
      </c>
      <c r="F48" s="21" t="n">
        <f aca="false">SUM(F36:F47)</f>
        <v>35.1163440605529</v>
      </c>
      <c r="G48" s="21" t="n">
        <f aca="false">SUM(G36:G47)</f>
        <v>193.139892333041</v>
      </c>
      <c r="H48" s="22" t="n">
        <f aca="false">SUM(H36:H47)</f>
        <v>20484.5340353225</v>
      </c>
    </row>
    <row r="49" customFormat="false" ht="15" hidden="false" customHeight="false" outlineLevel="0" collapsed="false">
      <c r="A49" s="23" t="s">
        <v>34</v>
      </c>
      <c r="B49" s="24" t="n">
        <f aca="false">F48+G48</f>
        <v>228.256236393594</v>
      </c>
    </row>
    <row r="52" customFormat="false" ht="15" hidden="false" customHeight="false" outlineLevel="0" collapsed="false">
      <c r="A52" s="4" t="s">
        <v>36</v>
      </c>
    </row>
    <row r="54" customFormat="false" ht="15" hidden="false" customHeight="false" outlineLevel="0" collapsed="false">
      <c r="A54" s="6" t="s">
        <v>13</v>
      </c>
      <c r="B54" s="6" t="s">
        <v>14</v>
      </c>
      <c r="C54" s="6" t="s">
        <v>15</v>
      </c>
      <c r="D54" s="6" t="s">
        <v>16</v>
      </c>
      <c r="E54" s="6" t="s">
        <v>17</v>
      </c>
      <c r="F54" s="6" t="s">
        <v>18</v>
      </c>
      <c r="G54" s="6" t="s">
        <v>19</v>
      </c>
      <c r="H54" s="6" t="s">
        <v>20</v>
      </c>
    </row>
    <row r="55" customFormat="false" ht="15" hidden="false" customHeight="false" outlineLevel="0" collapsed="false">
      <c r="A55" s="7" t="s">
        <v>21</v>
      </c>
      <c r="B55" s="15" t="n">
        <v>1</v>
      </c>
      <c r="C55" s="9" t="n">
        <f aca="false">$D$7/(1+EXP(-0.6*(B55-7)))</f>
        <v>1037.28274949777</v>
      </c>
      <c r="D55" s="9" t="n">
        <f aca="false">C55*0.75</f>
        <v>777.962062123327</v>
      </c>
      <c r="E55" s="9" t="n">
        <f aca="false">D55*4000</f>
        <v>3111848.24849331</v>
      </c>
      <c r="F55" s="19" t="n">
        <f aca="false">((E55/2)/1000000)*0.2</f>
        <v>0.311184824849331</v>
      </c>
      <c r="G55" s="19" t="n">
        <f aca="false">((E55/2)/1000000)*1.1</f>
        <v>1.71151653667132</v>
      </c>
      <c r="H55" s="13" t="n">
        <f aca="false">(C55*$D$8)*$D$9</f>
        <v>337.116893586775</v>
      </c>
    </row>
    <row r="56" customFormat="false" ht="15" hidden="false" customHeight="false" outlineLevel="0" collapsed="false">
      <c r="A56" s="7" t="s">
        <v>22</v>
      </c>
      <c r="B56" s="15" t="n">
        <v>2</v>
      </c>
      <c r="C56" s="9" t="n">
        <f aca="false">$D$7/(1+EXP(-0.6*(B56-7)))</f>
        <v>1849.6090539251</v>
      </c>
      <c r="D56" s="9" t="n">
        <f aca="false">C56*0.75</f>
        <v>1387.20679044383</v>
      </c>
      <c r="E56" s="9" t="n">
        <f aca="false">D56*4000</f>
        <v>5548827.16177531</v>
      </c>
      <c r="F56" s="19" t="n">
        <f aca="false">((E56/2)/1000000)*0.2</f>
        <v>0.554882716177531</v>
      </c>
      <c r="G56" s="19" t="n">
        <f aca="false">((E56/2)/1000000)*1.1</f>
        <v>3.05185493897642</v>
      </c>
      <c r="H56" s="13" t="n">
        <f aca="false">(C56*$D$8)*$D$9</f>
        <v>601.122942525659</v>
      </c>
    </row>
    <row r="57" customFormat="false" ht="15" hidden="false" customHeight="false" outlineLevel="0" collapsed="false">
      <c r="A57" s="7" t="s">
        <v>23</v>
      </c>
      <c r="B57" s="15" t="n">
        <v>3</v>
      </c>
      <c r="C57" s="9" t="n">
        <f aca="false">$D$7/(1+EXP(-0.6*(B57-7)))</f>
        <v>3243.73516326297</v>
      </c>
      <c r="D57" s="9" t="n">
        <f aca="false">C57*0.75</f>
        <v>2432.80137244723</v>
      </c>
      <c r="E57" s="9" t="n">
        <f aca="false">D57*4000</f>
        <v>9731205.48978892</v>
      </c>
      <c r="F57" s="19" t="n">
        <f aca="false">((E57/2)/1000000)*0.2</f>
        <v>0.973120548978892</v>
      </c>
      <c r="G57" s="19" t="n">
        <f aca="false">((E57/2)/1000000)*1.1</f>
        <v>5.35216301938391</v>
      </c>
      <c r="H57" s="13" t="n">
        <f aca="false">(C57*$D$8)*$D$9</f>
        <v>1054.21392806047</v>
      </c>
    </row>
    <row r="58" customFormat="false" ht="15" hidden="false" customHeight="false" outlineLevel="0" collapsed="false">
      <c r="A58" s="7" t="s">
        <v>24</v>
      </c>
      <c r="B58" s="15" t="n">
        <v>4</v>
      </c>
      <c r="C58" s="9" t="n">
        <f aca="false">$D$7/(1+EXP(-0.6*(B58-7)))</f>
        <v>5532.19153111903</v>
      </c>
      <c r="D58" s="9" t="n">
        <f aca="false">C58*0.75</f>
        <v>4149.14364833927</v>
      </c>
      <c r="E58" s="9" t="n">
        <f aca="false">D58*4000</f>
        <v>16596574.5933571</v>
      </c>
      <c r="F58" s="19" t="n">
        <f aca="false">((E58/2)/1000000)*0.2</f>
        <v>1.65965745933571</v>
      </c>
      <c r="G58" s="19" t="n">
        <f aca="false">((E58/2)/1000000)*1.1</f>
        <v>9.12811602634639</v>
      </c>
      <c r="H58" s="13" t="n">
        <f aca="false">(C58*$D$8)*$D$9</f>
        <v>1797.96224761368</v>
      </c>
    </row>
    <row r="59" customFormat="false" ht="15" hidden="false" customHeight="false" outlineLevel="0" collapsed="false">
      <c r="A59" s="7" t="s">
        <v>25</v>
      </c>
      <c r="B59" s="15" t="n">
        <v>5</v>
      </c>
      <c r="C59" s="9" t="n">
        <f aca="false">$D$7/(1+EXP(-0.6*(B59-7)))</f>
        <v>9027.53344353831</v>
      </c>
      <c r="D59" s="9" t="n">
        <f aca="false">C59*0.75</f>
        <v>6770.65008265373</v>
      </c>
      <c r="E59" s="9" t="n">
        <f aca="false">D59*4000</f>
        <v>27082600.3306149</v>
      </c>
      <c r="F59" s="19" t="n">
        <f aca="false">((E59/2)/1000000)*0.2</f>
        <v>2.70826003306149</v>
      </c>
      <c r="G59" s="19" t="n">
        <f aca="false">((E59/2)/1000000)*1.1</f>
        <v>14.8954301818382</v>
      </c>
      <c r="H59" s="13" t="n">
        <f aca="false">(C59*$D$8)*$D$9</f>
        <v>2933.94836914995</v>
      </c>
    </row>
    <row r="60" customFormat="false" ht="15" hidden="false" customHeight="false" outlineLevel="0" collapsed="false">
      <c r="A60" s="7" t="s">
        <v>26</v>
      </c>
      <c r="B60" s="15" t="n">
        <v>6</v>
      </c>
      <c r="C60" s="9" t="n">
        <f aca="false">$D$7/(1+EXP(-0.6*(B60-7)))</f>
        <v>13819.404057194</v>
      </c>
      <c r="D60" s="9" t="n">
        <f aca="false">C60*0.75</f>
        <v>10364.5530428955</v>
      </c>
      <c r="E60" s="9" t="n">
        <f aca="false">D60*4000</f>
        <v>41458212.1715819</v>
      </c>
      <c r="F60" s="19" t="n">
        <f aca="false">((E60/2)/1000000)*0.2</f>
        <v>4.14582121715819</v>
      </c>
      <c r="G60" s="19" t="n">
        <f aca="false">((E60/2)/1000000)*1.1</f>
        <v>22.8020166943701</v>
      </c>
      <c r="H60" s="13" t="n">
        <f aca="false">(C60*$D$8)*$D$9</f>
        <v>4491.30631858804</v>
      </c>
    </row>
    <row r="61" customFormat="false" ht="15" hidden="false" customHeight="false" outlineLevel="0" collapsed="false">
      <c r="A61" s="7" t="s">
        <v>27</v>
      </c>
      <c r="B61" s="15" t="n">
        <v>7</v>
      </c>
      <c r="C61" s="9" t="n">
        <f aca="false">$D$7/(1+EXP(-0.6*(B61-7)))</f>
        <v>19500</v>
      </c>
      <c r="D61" s="9" t="n">
        <f aca="false">C61*0.75</f>
        <v>14625</v>
      </c>
      <c r="E61" s="9" t="n">
        <f aca="false">D61*4000</f>
        <v>58500000</v>
      </c>
      <c r="F61" s="19" t="n">
        <f aca="false">((E61/2)/1000000)*0.2</f>
        <v>5.85</v>
      </c>
      <c r="G61" s="19" t="n">
        <f aca="false">((E61/2)/1000000)*1.1</f>
        <v>32.175</v>
      </c>
      <c r="H61" s="13" t="n">
        <f aca="false">(C61*$D$8)*$D$9</f>
        <v>6337.5</v>
      </c>
    </row>
    <row r="62" customFormat="false" ht="15" hidden="false" customHeight="false" outlineLevel="0" collapsed="false">
      <c r="A62" s="7" t="s">
        <v>28</v>
      </c>
      <c r="B62" s="15" t="n">
        <v>8</v>
      </c>
      <c r="C62" s="9" t="n">
        <f aca="false">$D$7/(1+EXP(-0.6*(B62-7)))</f>
        <v>25180.595942806</v>
      </c>
      <c r="D62" s="9" t="n">
        <f aca="false">C62*0.75</f>
        <v>18885.4469571045</v>
      </c>
      <c r="E62" s="9" t="n">
        <f aca="false">D62*4000</f>
        <v>75541787.8284181</v>
      </c>
      <c r="F62" s="19" t="n">
        <f aca="false">((E62/2)/1000000)*0.2</f>
        <v>7.55417878284181</v>
      </c>
      <c r="G62" s="19" t="n">
        <f aca="false">((E62/2)/1000000)*1.1</f>
        <v>41.54798330563</v>
      </c>
      <c r="H62" s="13" t="n">
        <f aca="false">(C62*$D$8)*$D$9</f>
        <v>8183.69368141196</v>
      </c>
    </row>
    <row r="63" customFormat="false" ht="15" hidden="false" customHeight="false" outlineLevel="0" collapsed="false">
      <c r="A63" s="7" t="s">
        <v>29</v>
      </c>
      <c r="B63" s="15" t="n">
        <v>9</v>
      </c>
      <c r="C63" s="9" t="n">
        <f aca="false">$D$7/(1+EXP(-0.6*(B63-7)))</f>
        <v>29972.4665564617</v>
      </c>
      <c r="D63" s="9" t="n">
        <f aca="false">C63*0.75</f>
        <v>22479.3499173463</v>
      </c>
      <c r="E63" s="9" t="n">
        <f aca="false">D63*4000</f>
        <v>89917399.6693851</v>
      </c>
      <c r="F63" s="19" t="n">
        <f aca="false">((E63/2)/1000000)*0.2</f>
        <v>8.99173996693851</v>
      </c>
      <c r="G63" s="19" t="n">
        <f aca="false">((E63/2)/1000000)*1.1</f>
        <v>49.4545698181618</v>
      </c>
      <c r="H63" s="13" t="n">
        <f aca="false">(C63*$D$8)*$D$9</f>
        <v>9741.05163085005</v>
      </c>
    </row>
    <row r="64" customFormat="false" ht="15" hidden="false" customHeight="false" outlineLevel="0" collapsed="false">
      <c r="A64" s="7" t="s">
        <v>30</v>
      </c>
      <c r="B64" s="15" t="n">
        <v>10</v>
      </c>
      <c r="C64" s="9" t="n">
        <f aca="false">$D$7/(1+EXP(-0.6*(B64-7)))</f>
        <v>33467.808468881</v>
      </c>
      <c r="D64" s="9" t="n">
        <f aca="false">C64*0.75</f>
        <v>25100.8563516607</v>
      </c>
      <c r="E64" s="9" t="n">
        <f aca="false">D64*4000</f>
        <v>100403425.406643</v>
      </c>
      <c r="F64" s="19" t="n">
        <f aca="false">((E64/2)/1000000)*0.2</f>
        <v>10.0403425406643</v>
      </c>
      <c r="G64" s="19" t="n">
        <f aca="false">((E64/2)/1000000)*1.1</f>
        <v>55.2218839736536</v>
      </c>
      <c r="H64" s="13" t="n">
        <f aca="false">(C64*$D$8)*$D$9</f>
        <v>10877.0377523863</v>
      </c>
    </row>
    <row r="65" customFormat="false" ht="15" hidden="false" customHeight="false" outlineLevel="0" collapsed="false">
      <c r="A65" s="7" t="s">
        <v>31</v>
      </c>
      <c r="B65" s="15" t="n">
        <v>11</v>
      </c>
      <c r="C65" s="9" t="n">
        <f aca="false">$D$7/(1+EXP(-0.6*(B65-7)))</f>
        <v>35756.264836737</v>
      </c>
      <c r="D65" s="9" t="n">
        <f aca="false">C65*0.75</f>
        <v>26817.1986275528</v>
      </c>
      <c r="E65" s="9" t="n">
        <f aca="false">D65*4000</f>
        <v>107268794.510211</v>
      </c>
      <c r="F65" s="19" t="n">
        <f aca="false">((E65/2)/1000000)*0.2</f>
        <v>10.7268794510211</v>
      </c>
      <c r="G65" s="19" t="n">
        <f aca="false">((E65/2)/1000000)*1.1</f>
        <v>58.9978369806161</v>
      </c>
      <c r="H65" s="13" t="n">
        <f aca="false">(C65*$D$8)*$D$9</f>
        <v>11620.7860719395</v>
      </c>
    </row>
    <row r="66" customFormat="false" ht="15" hidden="false" customHeight="false" outlineLevel="0" collapsed="false">
      <c r="A66" s="7" t="s">
        <v>32</v>
      </c>
      <c r="B66" s="15" t="n">
        <v>12</v>
      </c>
      <c r="C66" s="9" t="n">
        <f aca="false">$D$7</f>
        <v>39000</v>
      </c>
      <c r="D66" s="9" t="n">
        <f aca="false">C66*0.75</f>
        <v>29250</v>
      </c>
      <c r="E66" s="9" t="n">
        <f aca="false">D66*4000</f>
        <v>117000000</v>
      </c>
      <c r="F66" s="19" t="n">
        <f aca="false">((E66/2)/1000000)*0.2</f>
        <v>11.7</v>
      </c>
      <c r="G66" s="19" t="n">
        <f aca="false">((E66/2)/1000000)*1.1</f>
        <v>64.35</v>
      </c>
      <c r="H66" s="13" t="n">
        <f aca="false">(C66*$D$8)*$D$9</f>
        <v>12675</v>
      </c>
    </row>
    <row r="67" customFormat="false" ht="15" hidden="false" customHeight="false" outlineLevel="0" collapsed="false">
      <c r="A67" s="20" t="s">
        <v>33</v>
      </c>
      <c r="D67" s="21" t="n">
        <f aca="false">SUM(D55:D66)</f>
        <v>163040.168852567</v>
      </c>
      <c r="E67" s="21" t="n">
        <f aca="false">SUM(E55:E66)</f>
        <v>652160675.410269</v>
      </c>
      <c r="F67" s="21" t="n">
        <f aca="false">SUM(F55:F66)</f>
        <v>65.2160675410269</v>
      </c>
      <c r="G67" s="21" t="n">
        <f aca="false">SUM(G55:G66)</f>
        <v>358.688371475648</v>
      </c>
      <c r="H67" s="22" t="n">
        <f aca="false">SUM(H55:H66)</f>
        <v>70650.7398361124</v>
      </c>
    </row>
    <row r="68" customFormat="false" ht="15" hidden="false" customHeight="false" outlineLevel="0" collapsed="false">
      <c r="A68" s="23" t="s">
        <v>34</v>
      </c>
      <c r="B68" s="24" t="n">
        <f aca="false">F67+G67</f>
        <v>423.904439016675</v>
      </c>
    </row>
    <row r="70" customFormat="false" ht="16.15" hidden="false" customHeight="false" outlineLevel="0" collapsed="false">
      <c r="A70" s="25" t="s">
        <v>37</v>
      </c>
    </row>
    <row r="72" customFormat="false" ht="15" hidden="false" customHeight="false" outlineLevel="0" collapsed="false">
      <c r="A72" s="6" t="s">
        <v>38</v>
      </c>
      <c r="B72" s="6" t="s">
        <v>39</v>
      </c>
      <c r="C72" s="6" t="s">
        <v>40</v>
      </c>
      <c r="D72" s="6" t="s">
        <v>41</v>
      </c>
      <c r="E72" s="6" t="s">
        <v>42</v>
      </c>
      <c r="F72" s="6" t="s">
        <v>43</v>
      </c>
      <c r="G72" s="6" t="s">
        <v>44</v>
      </c>
    </row>
    <row r="73" customFormat="false" ht="15" hidden="false" customHeight="false" outlineLevel="0" collapsed="false">
      <c r="A73" s="26" t="s">
        <v>4</v>
      </c>
      <c r="B73" s="13" t="n">
        <f aca="false">H48</f>
        <v>20484.5340353225</v>
      </c>
      <c r="C73" s="13" t="n">
        <f aca="false">$B$11</f>
        <v>50000</v>
      </c>
      <c r="D73" s="13" t="n">
        <f aca="false">B49</f>
        <v>228.256236393594</v>
      </c>
      <c r="E73" s="13" t="n">
        <f aca="false">C73+D73</f>
        <v>50228.2562363936</v>
      </c>
      <c r="F73" s="22" t="n">
        <f aca="false">B73-E73</f>
        <v>-29743.7222010711</v>
      </c>
      <c r="G73" s="27" t="n">
        <f aca="false">F73/E73</f>
        <v>-0.592171109048373</v>
      </c>
    </row>
    <row r="74" customFormat="false" ht="15" hidden="false" customHeight="false" outlineLevel="0" collapsed="false">
      <c r="A74" s="26" t="s">
        <v>3</v>
      </c>
      <c r="B74" s="13" t="n">
        <f aca="false">H29</f>
        <v>41805.1715006582</v>
      </c>
      <c r="C74" s="13" t="n">
        <f aca="false">$B$11</f>
        <v>50000</v>
      </c>
      <c r="D74" s="13" t="n">
        <f aca="false">B30</f>
        <v>326.080337705134</v>
      </c>
      <c r="E74" s="13" t="n">
        <f aca="false">C74+D74</f>
        <v>50326.0803377051</v>
      </c>
      <c r="F74" s="22" t="n">
        <f aca="false">B74-E74</f>
        <v>-8520.90883704689</v>
      </c>
      <c r="G74" s="27" t="n">
        <f aca="false">F74/E74</f>
        <v>-0.16931397756131</v>
      </c>
    </row>
    <row r="75" customFormat="false" ht="15" hidden="false" customHeight="false" outlineLevel="0" collapsed="false">
      <c r="A75" s="26" t="s">
        <v>5</v>
      </c>
      <c r="B75" s="13" t="n">
        <f aca="false">H67</f>
        <v>70650.7398361124</v>
      </c>
      <c r="C75" s="13" t="n">
        <f aca="false">$B$11</f>
        <v>50000</v>
      </c>
      <c r="D75" s="13" t="n">
        <f aca="false">B68</f>
        <v>423.904439016675</v>
      </c>
      <c r="E75" s="13" t="n">
        <f aca="false">C75+D75</f>
        <v>50423.9044390167</v>
      </c>
      <c r="F75" s="22" t="n">
        <f aca="false">B75-E75</f>
        <v>20226.8353970958</v>
      </c>
      <c r="G75" s="27" t="n">
        <f aca="false">F75/E75</f>
        <v>0.401135842654913</v>
      </c>
    </row>
    <row r="76" customFormat="false" ht="15" hidden="false" customHeight="false" outlineLevel="0" collapsed="false">
      <c r="F76" s="0"/>
      <c r="G76" s="0"/>
      <c r="H76" s="0"/>
    </row>
    <row r="77" customFormat="false" ht="15" hidden="false" customHeight="false" outlineLevel="0" collapsed="false">
      <c r="F77" s="0"/>
      <c r="G77" s="0"/>
      <c r="H77" s="0"/>
    </row>
    <row r="78" customFormat="false" ht="15" hidden="false" customHeight="false" outlineLevel="0" collapsed="false">
      <c r="F78" s="0"/>
      <c r="G78" s="0"/>
      <c r="H78" s="0"/>
    </row>
    <row r="79" customFormat="false" ht="15" hidden="false" customHeight="false" outlineLevel="0" collapsed="false">
      <c r="F79" s="0"/>
      <c r="G79" s="0"/>
      <c r="H79" s="0"/>
    </row>
    <row r="80" customFormat="false" ht="15" hidden="false" customHeight="false" outlineLevel="0" collapsed="false">
      <c r="F80" s="0"/>
      <c r="G80" s="0"/>
      <c r="H80" s="0"/>
    </row>
    <row r="81" customFormat="false" ht="15" hidden="false" customHeight="false" outlineLevel="0" collapsed="false">
      <c r="F81" s="0"/>
      <c r="G81" s="0"/>
      <c r="H81" s="0"/>
    </row>
    <row r="82" customFormat="false" ht="15" hidden="false" customHeight="false" outlineLevel="0" collapsed="false">
      <c r="F82" s="0"/>
      <c r="G82" s="0"/>
      <c r="H82" s="0"/>
    </row>
    <row r="83" customFormat="false" ht="15" hidden="false" customHeight="false" outlineLevel="0" collapsed="false">
      <c r="F83" s="0"/>
      <c r="G83" s="0"/>
      <c r="H83" s="0"/>
    </row>
    <row r="84" customFormat="false" ht="15" hidden="false" customHeight="false" outlineLevel="0" collapsed="false">
      <c r="F84" s="0"/>
      <c r="G84" s="0"/>
      <c r="H84" s="0"/>
    </row>
    <row r="85" customFormat="false" ht="15" hidden="false" customHeight="false" outlineLevel="0" collapsed="false">
      <c r="F85" s="0"/>
      <c r="G85" s="0"/>
      <c r="H85" s="0"/>
    </row>
    <row r="86" customFormat="false" ht="15" hidden="false" customHeight="false" outlineLevel="0" collapsed="false">
      <c r="F86" s="0"/>
      <c r="G86" s="0"/>
      <c r="H86" s="0"/>
    </row>
    <row r="87" customFormat="false" ht="15" hidden="false" customHeight="false" outlineLevel="0" collapsed="false">
      <c r="F87" s="0"/>
      <c r="G87" s="0"/>
      <c r="H87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41"/>
    <col collapsed="false" customWidth="true" hidden="false" outlineLevel="0" max="2" min="2" style="0" width="31.99"/>
    <col collapsed="false" customWidth="true" hidden="false" outlineLevel="0" max="3" min="3" style="0" width="40.21"/>
    <col collapsed="false" customWidth="true" hidden="false" outlineLevel="0" max="4" min="4" style="0" width="37.15"/>
  </cols>
  <sheetData>
    <row r="1" customFormat="false" ht="17.35" hidden="false" customHeight="false" outlineLevel="0" collapsed="false">
      <c r="A1" s="3" t="s">
        <v>45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28" t="s">
        <v>46</v>
      </c>
      <c r="B3" s="28" t="s">
        <v>47</v>
      </c>
      <c r="C3" s="28" t="s">
        <v>48</v>
      </c>
      <c r="D3" s="28" t="s">
        <v>49</v>
      </c>
    </row>
    <row r="4" customFormat="false" ht="68.65" hidden="false" customHeight="false" outlineLevel="0" collapsed="false">
      <c r="A4" s="29" t="s">
        <v>50</v>
      </c>
      <c r="B4" s="30" t="s">
        <v>51</v>
      </c>
      <c r="C4" s="30" t="s">
        <v>52</v>
      </c>
      <c r="D4" s="30" t="s">
        <v>53</v>
      </c>
    </row>
    <row r="5" customFormat="false" ht="79.85" hidden="false" customHeight="false" outlineLevel="0" collapsed="false">
      <c r="A5" s="31" t="s">
        <v>54</v>
      </c>
      <c r="B5" s="30" t="s">
        <v>55</v>
      </c>
      <c r="C5" s="30" t="s">
        <v>56</v>
      </c>
      <c r="D5" s="32" t="s">
        <v>57</v>
      </c>
    </row>
    <row r="6" customFormat="false" ht="73.1" hidden="false" customHeight="false" outlineLevel="0" collapsed="false">
      <c r="A6" s="33" t="s">
        <v>58</v>
      </c>
      <c r="B6" s="30" t="s">
        <v>59</v>
      </c>
      <c r="C6" s="30" t="s">
        <v>60</v>
      </c>
      <c r="D6" s="34" t="s">
        <v>61</v>
      </c>
    </row>
    <row r="7" customFormat="false" ht="57.45" hidden="false" customHeight="false" outlineLevel="0" collapsed="false">
      <c r="A7" s="31" t="s">
        <v>62</v>
      </c>
      <c r="B7" s="30" t="s">
        <v>63</v>
      </c>
      <c r="C7" s="30" t="s">
        <v>64</v>
      </c>
      <c r="D7" s="32" t="s">
        <v>65</v>
      </c>
    </row>
    <row r="8" customFormat="false" ht="57.45" hidden="false" customHeight="false" outlineLevel="0" collapsed="false">
      <c r="A8" s="31" t="s">
        <v>66</v>
      </c>
      <c r="B8" s="32" t="s">
        <v>67</v>
      </c>
      <c r="C8" s="30" t="s">
        <v>68</v>
      </c>
      <c r="D8" s="30" t="s">
        <v>69</v>
      </c>
    </row>
    <row r="9" customFormat="false" ht="68.65" hidden="false" customHeight="false" outlineLevel="0" collapsed="false">
      <c r="A9" s="31" t="s">
        <v>70</v>
      </c>
      <c r="B9" s="30" t="s">
        <v>71</v>
      </c>
      <c r="C9" s="30" t="s">
        <v>72</v>
      </c>
      <c r="D9" s="3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2026-09-17T10:23:08Z</dcterms:created>
  <dc:creator>openpyxl</dc:creator>
  <dc:description/>
  <dc:language>en-US</dc:language>
  <cp:lastModifiedBy/>
  <dcterms:modified xsi:type="dcterms:W3CDTF">2026-09-17T13:58:56Z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